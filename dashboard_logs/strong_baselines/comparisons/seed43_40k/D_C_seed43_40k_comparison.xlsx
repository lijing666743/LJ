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16edbf16444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0k对比" sheetId="1" r:id="R56c4836f8ab749a1"/>
    <x:sheet xmlns:r="http://schemas.openxmlformats.org/officeDocument/2006/relationships" name="D43进展" sheetId="2" r:id="Rb82a8445d116476b"/>
    <x:sheet xmlns:r="http://schemas.openxmlformats.org/officeDocument/2006/relationships" name="五场景完成" sheetId="3" r:id="R4aca0eb204ac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%"/>
    <x:numFmt numFmtId="202" formatCode="0.0000"/>
    <x:numFmt numFmtId="203" formatCode="0.000000"/>
    <x:numFmt numFmtId="204" formatCode="0"/>
  </x:numFmts>
  <x:fonts count="6">
    <x:font>
      <x:sz val="11"/>
      <x:name val="Carlito"/>
    </x:font>
    <x:font>
      <x:sz val="11"/>
      <x:color rgb="FF172B4D"/>
      <x:name val="Arial"/>
    </x:font>
    <x:font>
      <x:b/>
      <x:sz val="15"/>
      <x:color rgb="FF142E50"/>
      <x:name val="Arial"/>
    </x:font>
    <x:font>
      <x:i/>
      <x:sz val="11"/>
      <x:color rgb="FF556578"/>
      <x:name val="Arial"/>
    </x:font>
    <x:font>
      <x:b/>
      <x:sz val="11"/>
      <x:color rgb="FFFFFFFF"/>
      <x:name val="Arial"/>
    </x:font>
    <x:font>
      <x:b/>
      <x:sz val="11"/>
      <x:color rgb="FF172B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F61"/>
      </x:patternFill>
    </x:fill>
    <x:fill>
      <x:patternFill patternType="solid">
        <x:fgColor rgb="FFF2F5F9"/>
      </x:patternFill>
    </x:fill>
    <x:fill>
      <x:patternFill patternType="solid">
        <x:fgColor rgb="FFE2EDF8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B4C3D5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8DA2BB"/>
      </x:top>
      <x:bottom/>
      <x:diagonal/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lef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horizontal="right" vertical="center"/>
    </x:xf>
    <x:xf numFmtId="202" fontId="5" fillId="4" borderId="0" xfId="0" applyNumberFormat="1" applyFont="1" applyFill="1" applyBorder="1" applyAlignment="1">
      <x:alignment horizontal="right" vertical="center"/>
    </x:xf>
    <x:xf numFmtId="203" fontId="5" fillId="4" borderId="0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horizontal="left" vertical="center"/>
    </x:xf>
    <x:xf numFmtId="200" fontId="1" fillId="3" borderId="1" xfId="0" applyNumberFormat="1" applyFont="1" applyFill="1" applyBorder="1" applyAlignment="1">
      <x:alignment horizontal="right" vertical="center"/>
    </x:xf>
    <x:xf numFmtId="201" fontId="1" fillId="3" borderId="1" xfId="0" applyNumberFormat="1" applyFont="1" applyFill="1" applyBorder="1" applyAlignment="1">
      <x:alignment horizontal="right" vertical="center"/>
    </x:xf>
    <x:xf numFmtId="202" fontId="1" fillId="3" borderId="1" xfId="0" applyNumberFormat="1" applyFont="1" applyFill="1" applyBorder="1" applyAlignment="1">
      <x:alignment horizontal="right" vertical="center"/>
    </x:xf>
    <x:xf numFmtId="203" fontId="1" fillId="3" borderId="1" xfId="0" applyNumberFormat="1" applyFont="1" applyFill="1" applyBorder="1" applyAlignment="1">
      <x:alignment horizontal="right" vertical="center"/>
    </x:xf>
    <x:xf numFmtId="0" fontId="5" fillId="4" borderId="1" xfId="0" applyNumberFormat="1" applyFont="1" applyFill="1" applyBorder="1" applyAlignment="1">
      <x:alignment horizontal="left" vertical="center"/>
    </x:xf>
    <x:xf numFmtId="200" fontId="5" fillId="4" borderId="1" xfId="0" applyNumberFormat="1" applyFont="1" applyFill="1" applyBorder="1" applyAlignment="1">
      <x:alignment horizontal="right" vertical="center"/>
    </x:xf>
    <x:xf numFmtId="201" fontId="5" fillId="4" borderId="1" xfId="0" applyNumberFormat="1" applyFont="1" applyFill="1" applyBorder="1" applyAlignment="1">
      <x:alignment horizontal="right" vertical="center"/>
    </x:xf>
    <x:xf numFmtId="202" fontId="5" fillId="4" borderId="1" xfId="0" applyNumberFormat="1" applyFont="1" applyFill="1" applyBorder="1" applyAlignment="1">
      <x:alignment horizontal="right" vertical="center"/>
    </x:xf>
    <x:xf numFmtId="203" fontId="5" fillId="4" borderId="1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  <x:xf numFmtId="200" fontId="5" fillId="4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left" vertical="center"/>
    </x:xf>
    <x:xf numFmtId="200" fontId="5" fillId="0" borderId="0" xfId="0" applyNumberFormat="1" applyFont="1" applyFill="1" applyBorder="1" applyAlignment="1">
      <x:alignment horizontal="lef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5" fillId="0" borderId="5" xfId="0" applyNumberFormat="1" applyFont="1" applyFill="1" applyBorder="1" applyAlignment="1">
      <x:alignment horizontal="left" vertical="center"/>
    </x:xf>
    <x:xf numFmtId="200" fontId="5" fillId="0" borderId="5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0e7dd32f14fbf" /><Relationship Type="http://schemas.openxmlformats.org/officeDocument/2006/relationships/theme" Target="/xl/theme/theme1.xml" Id="R13a6b84166284a7e" /><Relationship Type="http://schemas.openxmlformats.org/officeDocument/2006/relationships/sharedStrings" Target="/xl/sharedStrings.xml" Id="R53400d455f084d17" /><Relationship Type="http://schemas.openxmlformats.org/officeDocument/2006/relationships/worksheet" Target="/xl/worksheets/sheet1.xml" Id="R56c4836f8ab749a1" /><Relationship Type="http://schemas.openxmlformats.org/officeDocument/2006/relationships/worksheet" Target="/xl/worksheets/sheet2.xml" Id="Rb82a8445d116476b" /><Relationship Type="http://schemas.openxmlformats.org/officeDocument/2006/relationships/worksheet" Target="/xl/worksheets/sheet3.xml" Id="R4aca0eb204ac44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F61"/>
  </x:sheetPr>
  <x:sheetViews>
    <x:sheetView showGridLines="0" workbookViewId="0"/>
  </x:sheetViews>
  <x:sheetFormatPr defaultRowHeight="15"/>
  <x:cols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" max="1" width="22.8799991607666" hidden="0" customWidth="1"/>
  </x:cols>
  <x:sheetData>
    <x:row r="1" ht="25" customHeight="1">
      <x:c r="A1" s="4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C与D固定40k开发评估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5" customHeight="1">
      <x:c r="A3" s="8" t="str">
        <x:v>2026-10-20；五个开发场景1042—1046；每方法605个任务。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5" customHeight="1">
      <x:c r="A4" s="4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8" customHeight="1">
      <x:c r="A5" s="16" t="str">
        <x:v>方法与训练种子</x:v>
      </x:c>
      <x:c r="B5" s="17" t="str">
        <x:v>生成任务</x:v>
      </x:c>
      <x:c r="C5" s="17" t="str">
        <x:v>完成任务</x:v>
      </x:c>
      <x:c r="D5" s="17" t="str">
        <x:v>完成率</x:v>
      </x:c>
      <x:c r="E5" s="17" t="str">
        <x:v>过期</x:v>
      </x:c>
      <x:c r="F5" s="17" t="str">
        <x:v>截断</x:v>
      </x:c>
      <x:c r="G5" s="17" t="str">
        <x:v>总能耗(J)</x:v>
      </x:c>
      <x:c r="H5" s="17" t="str">
        <x:v>CPU能耗(J)</x:v>
      </x:c>
      <x:c r="I5" s="17" t="str">
        <x:v>TX能耗(J)</x:v>
      </x:c>
      <x:c r="J5" s="17" t="str">
        <x:v>J/完成</x:v>
      </x:c>
      <x:c r="K5" s="18" t="str">
        <x:v>平均时延(s)</x:v>
      </x:c>
    </x:row>
    <x:row r="6" ht="25" customHeight="1">
      <x:c r="A6" s="33" t="str">
        <x:v>D seed43 40k</x:v>
      </x:c>
      <x:c r="B6" s="34" t="n">
        <x:v>605</x:v>
      </x:c>
      <x:c r="C6" s="34" t="n">
        <x:v>419</x:v>
      </x:c>
      <x:c r="D6" s="35" t="n">
        <x:f>C6/B6</x:f>
        <x:v>0.6925619834710743</x:v>
      </x:c>
      <x:c r="E6" s="34" t="n">
        <x:v>147</x:v>
      </x:c>
      <x:c r="F6" s="34" t="n">
        <x:v>39</x:v>
      </x:c>
      <x:c r="G6" s="36" t="n">
        <x:v>178.4763949947075</x:v>
      </x:c>
      <x:c r="H6" s="36" t="n">
        <x:v>176.926697669507</x:v>
      </x:c>
      <x:c r="I6" s="36" t="n">
        <x:v>1.5496973252004853</x:v>
      </x:c>
      <x:c r="J6" s="37" t="n">
        <x:f>G6/C6</x:f>
        <x:v>0.4259579832809248</x:v>
      </x:c>
      <x:c r="K6" s="37" t="n">
        <x:v>0.41455847255369926</x:v>
      </x:c>
    </x:row>
    <x:row r="7" ht="25" customHeight="1">
      <x:c r="A7" s="23" t="str">
        <x:v>C seed43 40k</x:v>
      </x:c>
      <x:c r="B7" s="24" t="n">
        <x:v>605</x:v>
      </x:c>
      <x:c r="C7" s="24" t="n">
        <x:v>391</x:v>
      </x:c>
      <x:c r="D7" s="25" t="n">
        <x:f>C7/B7</x:f>
        <x:v>0.6462809917355372</x:v>
      </x:c>
      <x:c r="E7" s="24" t="n">
        <x:v>168</x:v>
      </x:c>
      <x:c r="F7" s="24" t="n">
        <x:v>46</x:v>
      </x:c>
      <x:c r="G7" s="26" t="n">
        <x:v>186.82833758079127</x:v>
      </x:c>
      <x:c r="H7" s="26" t="n">
        <x:v>181.1101496820859</x:v>
      </x:c>
      <x:c r="I7" s="26" t="n">
        <x:v>5.718187898705383</x:v>
      </x:c>
      <x:c r="J7" s="27" t="n">
        <x:f>G7/C7</x:f>
        <x:v>0.47782183524499044</x:v>
      </x:c>
      <x:c r="K7" s="27" t="n">
        <x:v>0.4149360613810742</x:v>
      </x:c>
    </x:row>
    <x:row r="8" ht="25" customHeight="1">
      <x:c r="A8" s="4" t="str">
        <x:v>D seed42 40k</x:v>
      </x:c>
      <x:c r="B8" s="19" t="n">
        <x:v>605</x:v>
      </x:c>
      <x:c r="C8" s="19" t="n">
        <x:v>425</x:v>
      </x:c>
      <x:c r="D8" s="20" t="n">
        <x:f>C8/B8</x:f>
        <x:v>0.7024793388429752</x:v>
      </x:c>
      <x:c r="E8" s="19" t="n">
        <x:v>139</x:v>
      </x:c>
      <x:c r="F8" s="19" t="n">
        <x:v>41</x:v>
      </x:c>
      <x:c r="G8" s="21" t="n">
        <x:v>182.37186433355242</x:v>
      </x:c>
      <x:c r="H8" s="21" t="n">
        <x:v>180.24739952428874</x:v>
      </x:c>
      <x:c r="I8" s="21" t="n">
        <x:v>2.124464809263685</x:v>
      </x:c>
      <x:c r="J8" s="22" t="n">
        <x:f>G8/C8</x:f>
        <x:v>0.42911026902012334</x:v>
      </x:c>
      <x:c r="K8" s="22" t="n">
        <x:v>0.4154823529411765</x:v>
      </x:c>
    </x:row>
    <x:row r="9" ht="25" customHeight="1">
      <x:c r="A9" s="23" t="str">
        <x:v>C seed42 40k</x:v>
      </x:c>
      <x:c r="B9" s="24" t="n">
        <x:v>605</x:v>
      </x:c>
      <x:c r="C9" s="24" t="n">
        <x:v>412</x:v>
      </x:c>
      <x:c r="D9" s="25" t="n">
        <x:f>C9/B9</x:f>
        <x:v>0.6809917355371901</x:v>
      </x:c>
      <x:c r="E9" s="24" t="n">
        <x:v>151</x:v>
      </x:c>
      <x:c r="F9" s="24" t="n">
        <x:v>42</x:v>
      </x:c>
      <x:c r="G9" s="26" t="n">
        <x:v>187.70649261883867</x:v>
      </x:c>
      <x:c r="H9" s="26" t="n">
        <x:v>182.3333111956157</x:v>
      </x:c>
      <x:c r="I9" s="26" t="n">
        <x:v>5.373181423222952</x:v>
      </x:c>
      <x:c r="J9" s="27" t="n">
        <x:f>G9/C9</x:f>
        <x:v>0.45559828305543365</x:v>
      </x:c>
      <x:c r="K9" s="27" t="n">
        <x:v>0.4148058252427185</x:v>
      </x:c>
    </x:row>
    <x:row r="10" ht="25" customHeight="1">
      <x:c r="A10" s="4" t="str">
        <x:v>Heuristic</x:v>
      </x:c>
      <x:c r="B10" s="19" t="n">
        <x:v>605</x:v>
      </x:c>
      <x:c r="C10" s="19" t="n">
        <x:v>371</x:v>
      </x:c>
      <x:c r="D10" s="20" t="n">
        <x:f>C10/B10</x:f>
        <x:v>0.6132231404958678</x:v>
      </x:c>
      <x:c r="E10" s="19" t="n">
        <x:v>190</x:v>
      </x:c>
      <x:c r="F10" s="19" t="n">
        <x:v>44</x:v>
      </x:c>
      <x:c r="G10" s="21" t="n">
        <x:v>109.1668506307753</x:v>
      </x:c>
      <x:c r="H10" s="21" t="n">
        <x:v>108.59256812073247</x:v>
      </x:c>
      <x:c r="I10" s="21" t="n">
        <x:v>0.5742825100428339</x:v>
      </x:c>
      <x:c r="J10" s="22" t="n">
        <x:f>G10/C10</x:f>
        <x:v>0.29425027124198194</x:v>
      </x:c>
      <x:c r="K10" s="22" t="n">
        <x:v>0.5313207547169811</x:v>
      </x:c>
    </x:row>
    <x:row r="11" ht="25" customHeight="1">
      <x:c r="A11" s="38" t="str">
        <x:v>Local</x:v>
      </x:c>
      <x:c r="B11" s="39" t="n">
        <x:v>605</x:v>
      </x:c>
      <x:c r="C11" s="39" t="n">
        <x:v>323</x:v>
      </x:c>
      <x:c r="D11" s="40" t="n">
        <x:f>C11/B11</x:f>
        <x:v>0.5338842975206611</x:v>
      </x:c>
      <x:c r="E11" s="39" t="n">
        <x:v>243</x:v>
      </x:c>
      <x:c r="F11" s="39" t="n">
        <x:v>39</x:v>
      </x:c>
      <x:c r="G11" s="41" t="n">
        <x:v>118.66321643549148</x:v>
      </x:c>
      <x:c r="H11" s="41" t="n">
        <x:v>118.66321643549148</x:v>
      </x:c>
      <x:c r="I11" s="41" t="n">
        <x:v>0</x:v>
      </x:c>
      <x:c r="J11" s="42" t="n">
        <x:f>G11/C11</x:f>
        <x:v>0.3673783790572492</x:v>
      </x:c>
      <x:c r="K11" s="42" t="n">
        <x:v>0.3977089783281734</x:v>
      </x:c>
    </x:row>
    <x:row r="12" ht="25" customHeight="1">
      <x:c r="A12" s="4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5" customHeight="1">
      <x:c r="A13" s="4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5" customHeight="1">
      <x:c r="A14" s="4" t="str">
        <x:v>两训练种子结果；尚缺D seed44，不能作为最终三种子结论。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5" customHeight="1">
      <x:c r="A15" s="4" t="str">
        <x:v>D为共同特征与信用增强QMIX；固定40k报告，不以中间最好点替代。</x:v>
      </x:c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5" customHeight="1">
      <x:c r="A16" s="4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5" customHeight="1">
      <x:c r="A17" s="4" t="str">
        <x:v>来源：本地冻结评估原始记录，已按相同外部轨迹核对。</x:v>
      </x:c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5" customHeight="1">
      <x:c r="A18" s="4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" max="1" width="22.8799991607666" hidden="0" customWidth="1"/>
  </x:cols>
  <x:sheetData>
    <x:row r="1" ht="25" customHeight="1">
      <x:c r="A1" s="4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D seed43十个检查点的学习进展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5" customHeight="1">
      <x:c r="A3" s="8" t="str">
        <x:v>真实交互步数每4,000步评估一次；40,000步为固定主报告点。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5" customHeight="1">
      <x:c r="A4" s="4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8" customHeight="1">
      <x:c r="A5" s="16" t="str">
        <x:v>真实训练步</x:v>
      </x:c>
      <x:c r="B5" s="17" t="str">
        <x:v>生成任务</x:v>
      </x:c>
      <x:c r="C5" s="17" t="str">
        <x:v>完成任务</x:v>
      </x:c>
      <x:c r="D5" s="17" t="str">
        <x:v>完成率</x:v>
      </x:c>
      <x:c r="E5" s="17" t="str">
        <x:v>过期</x:v>
      </x:c>
      <x:c r="F5" s="17" t="str">
        <x:v>截断</x:v>
      </x:c>
      <x:c r="G5" s="17" t="str">
        <x:v>总能耗(J)</x:v>
      </x:c>
      <x:c r="H5" s="17" t="str">
        <x:v>CPU能耗(J)</x:v>
      </x:c>
      <x:c r="I5" s="17" t="str">
        <x:v>TX能耗(J)</x:v>
      </x:c>
      <x:c r="J5" s="17" t="str">
        <x:v>J/完成</x:v>
      </x:c>
      <x:c r="K5" s="18" t="str">
        <x:v>平均时延(s)</x:v>
      </x:c>
    </x:row>
    <x:row r="6" ht="25" customHeight="1">
      <x:c r="A6" s="48" t="n">
        <x:v>4000</x:v>
      </x:c>
      <x:c r="B6" s="19" t="n">
        <x:v>605</x:v>
      </x:c>
      <x:c r="C6" s="19" t="n">
        <x:v>262</x:v>
      </x:c>
      <x:c r="D6" s="20" t="n">
        <x:f>C6/B6</x:f>
        <x:v>0.43305785123966944</x:v>
      </x:c>
      <x:c r="E6" s="19" t="n">
        <x:v>297</x:v>
      </x:c>
      <x:c r="F6" s="19" t="n">
        <x:v>46</x:v>
      </x:c>
      <x:c r="G6" s="21" t="n">
        <x:v>136.17398313272028</x:v>
      </x:c>
      <x:c r="H6" s="21" t="n">
        <x:v>134.2312141601361</x:v>
      </x:c>
      <x:c r="I6" s="21" t="n">
        <x:v>1.9427689725841792</x:v>
      </x:c>
      <x:c r="J6" s="22" t="n">
        <x:f>G6/C6</x:f>
        <x:v>0.5197480272241232</x:v>
      </x:c>
      <x:c r="K6" s="22" t="n">
        <x:v>0.5016793893129771</x:v>
      </x:c>
    </x:row>
    <x:row r="7" ht="25" customHeight="1">
      <x:c r="A7" s="49" t="n">
        <x:v>8000</x:v>
      </x:c>
      <x:c r="B7" s="24" t="n">
        <x:v>605</x:v>
      </x:c>
      <x:c r="C7" s="24" t="n">
        <x:v>317</x:v>
      </x:c>
      <x:c r="D7" s="25" t="n">
        <x:f>C7/B7</x:f>
        <x:v>0.5239669421487604</x:v>
      </x:c>
      <x:c r="E7" s="24" t="n">
        <x:v>241</x:v>
      </x:c>
      <x:c r="F7" s="24" t="n">
        <x:v>47</x:v>
      </x:c>
      <x:c r="G7" s="26" t="n">
        <x:v>156.91542435735815</x:v>
      </x:c>
      <x:c r="H7" s="26" t="n">
        <x:v>153.63312712532402</x:v>
      </x:c>
      <x:c r="I7" s="26" t="n">
        <x:v>3.282297232034109</x:v>
      </x:c>
      <x:c r="J7" s="27" t="n">
        <x:f>G7/C7</x:f>
        <x:v>0.49500133866674495</x:v>
      </x:c>
      <x:c r="K7" s="27" t="n">
        <x:v>0.4782965299684543</x:v>
      </x:c>
    </x:row>
    <x:row r="8" ht="25" customHeight="1">
      <x:c r="A8" s="48" t="n">
        <x:v>12000</x:v>
      </x:c>
      <x:c r="B8" s="19" t="n">
        <x:v>605</x:v>
      </x:c>
      <x:c r="C8" s="19" t="n">
        <x:v>358</x:v>
      </x:c>
      <x:c r="D8" s="20" t="n">
        <x:f>C8/B8</x:f>
        <x:v>0.5917355371900826</x:v>
      </x:c>
      <x:c r="E8" s="19" t="n">
        <x:v>204</x:v>
      </x:c>
      <x:c r="F8" s="19" t="n">
        <x:v>43</x:v>
      </x:c>
      <x:c r="G8" s="21" t="n">
        <x:v>155.5834881769559</x:v>
      </x:c>
      <x:c r="H8" s="21" t="n">
        <x:v>151.88308744264154</x:v>
      </x:c>
      <x:c r="I8" s="21" t="n">
        <x:v>3.700400734314373</x:v>
      </x:c>
      <x:c r="J8" s="22" t="n">
        <x:f>G8/C8</x:f>
        <x:v>0.4345907490976422</x:v>
      </x:c>
      <x:c r="K8" s="22" t="n">
        <x:v>0.4834078212290503</x:v>
      </x:c>
    </x:row>
    <x:row r="9" ht="25" customHeight="1">
      <x:c r="A9" s="49" t="n">
        <x:v>16000</x:v>
      </x:c>
      <x:c r="B9" s="24" t="n">
        <x:v>605</x:v>
      </x:c>
      <x:c r="C9" s="24" t="n">
        <x:v>358</x:v>
      </x:c>
      <x:c r="D9" s="25" t="n">
        <x:f>C9/B9</x:f>
        <x:v>0.5917355371900826</x:v>
      </x:c>
      <x:c r="E9" s="24" t="n">
        <x:v>202</x:v>
      </x:c>
      <x:c r="F9" s="24" t="n">
        <x:v>45</x:v>
      </x:c>
      <x:c r="G9" s="26" t="n">
        <x:v>164.3884307577381</x:v>
      </x:c>
      <x:c r="H9" s="26" t="n">
        <x:v>162.0979571106193</x:v>
      </x:c>
      <x:c r="I9" s="26" t="n">
        <x:v>2.290473647118801</x:v>
      </x:c>
      <x:c r="J9" s="27" t="n">
        <x:f>G9/C9</x:f>
        <x:v>0.45918556077580475</x:v>
      </x:c>
      <x:c r="K9" s="27" t="n">
        <x:v>0.4939106145251396</x:v>
      </x:c>
    </x:row>
    <x:row r="10" ht="25" customHeight="1">
      <x:c r="A10" s="48" t="n">
        <x:v>20000</x:v>
      </x:c>
      <x:c r="B10" s="19" t="n">
        <x:v>605</x:v>
      </x:c>
      <x:c r="C10" s="19" t="n">
        <x:v>372</x:v>
      </x:c>
      <x:c r="D10" s="20" t="n">
        <x:f>C10/B10</x:f>
        <x:v>0.6148760330578512</x:v>
      </x:c>
      <x:c r="E10" s="19" t="n">
        <x:v>190</x:v>
      </x:c>
      <x:c r="F10" s="19" t="n">
        <x:v>43</x:v>
      </x:c>
      <x:c r="G10" s="21" t="n">
        <x:v>159.48945407477606</x:v>
      </x:c>
      <x:c r="H10" s="21" t="n">
        <x:v>157.66927721509293</x:v>
      </x:c>
      <x:c r="I10" s="21" t="n">
        <x:v>1.8201768596831298</x:v>
      </x:c>
      <x:c r="J10" s="22" t="n">
        <x:f>G10/C10</x:f>
        <x:v>0.42873509159886036</x:v>
      </x:c>
      <x:c r="K10" s="22" t="n">
        <x:v>0.4684408602150537</x:v>
      </x:c>
    </x:row>
    <x:row r="11" ht="25" customHeight="1">
      <x:c r="A11" s="49" t="n">
        <x:v>24000</x:v>
      </x:c>
      <x:c r="B11" s="24" t="n">
        <x:v>605</x:v>
      </x:c>
      <x:c r="C11" s="24" t="n">
        <x:v>366</x:v>
      </x:c>
      <x:c r="D11" s="25" t="n">
        <x:f>C11/B11</x:f>
        <x:v>0.6049586776859505</x:v>
      </x:c>
      <x:c r="E11" s="24" t="n">
        <x:v>196</x:v>
      </x:c>
      <x:c r="F11" s="24" t="n">
        <x:v>43</x:v>
      </x:c>
      <x:c r="G11" s="26" t="n">
        <x:v>168.40903980608775</x:v>
      </x:c>
      <x:c r="H11" s="26" t="n">
        <x:v>165.58882578675994</x:v>
      </x:c>
      <x:c r="I11" s="26" t="n">
        <x:v>2.820214019327794</x:v>
      </x:c>
      <x:c r="J11" s="27" t="n">
        <x:f>G11/C11</x:f>
        <x:v>0.46013398854122334</x:v>
      </x:c>
      <x:c r="K11" s="27" t="n">
        <x:v>0.4458469945355191</x:v>
      </x:c>
    </x:row>
    <x:row r="12" ht="25" customHeight="1">
      <x:c r="A12" s="48" t="n">
        <x:v>28000</x:v>
      </x:c>
      <x:c r="B12" s="19" t="n">
        <x:v>605</x:v>
      </x:c>
      <x:c r="C12" s="19" t="n">
        <x:v>378</x:v>
      </x:c>
      <x:c r="D12" s="20" t="n">
        <x:f>C12/B12</x:f>
        <x:v>0.6247933884297521</x:v>
      </x:c>
      <x:c r="E12" s="19" t="n">
        <x:v>186</x:v>
      </x:c>
      <x:c r="F12" s="19" t="n">
        <x:v>41</x:v>
      </x:c>
      <x:c r="G12" s="21" t="n">
        <x:v>172.3712749842874</x:v>
      </x:c>
      <x:c r="H12" s="21" t="n">
        <x:v>170.52580297377835</x:v>
      </x:c>
      <x:c r="I12" s="21" t="n">
        <x:v>1.8454720105090268</x:v>
      </x:c>
      <x:c r="J12" s="22" t="n">
        <x:f>G12/C12</x:f>
        <x:v>0.4560086639795963</x:v>
      </x:c>
      <x:c r="K12" s="22" t="n">
        <x:v>0.43164021164021166</x:v>
      </x:c>
    </x:row>
    <x:row r="13" ht="25" customHeight="1">
      <x:c r="A13" s="49" t="n">
        <x:v>32000</x:v>
      </x:c>
      <x:c r="B13" s="24" t="n">
        <x:v>605</x:v>
      </x:c>
      <x:c r="C13" s="24" t="n">
        <x:v>429</x:v>
      </x:c>
      <x:c r="D13" s="25" t="n">
        <x:f>C13/B13</x:f>
        <x:v>0.7090909090909091</x:v>
      </x:c>
      <x:c r="E13" s="24" t="n">
        <x:v>133</x:v>
      </x:c>
      <x:c r="F13" s="24" t="n">
        <x:v>43</x:v>
      </x:c>
      <x:c r="G13" s="26" t="n">
        <x:v>184.91102723727693</x:v>
      </x:c>
      <x:c r="H13" s="26" t="n">
        <x:v>182.81252866324152</x:v>
      </x:c>
      <x:c r="I13" s="26" t="n">
        <x:v>2.0984985740353985</x:v>
      </x:c>
      <x:c r="J13" s="27" t="n">
        <x:f>G13/C13</x:f>
        <x:v>0.431028035518128</x:v>
      </x:c>
      <x:c r="K13" s="27" t="n">
        <x:v>0.4195804195804196</x:v>
      </x:c>
    </x:row>
    <x:row r="14" ht="25" customHeight="1">
      <x:c r="A14" s="48" t="n">
        <x:v>36000</x:v>
      </x:c>
      <x:c r="B14" s="19" t="n">
        <x:v>605</x:v>
      </x:c>
      <x:c r="C14" s="19" t="n">
        <x:v>418</x:v>
      </x:c>
      <x:c r="D14" s="20" t="n">
        <x:f>C14/B14</x:f>
        <x:v>0.6909090909090909</x:v>
      </x:c>
      <x:c r="E14" s="19" t="n">
        <x:v>147</x:v>
      </x:c>
      <x:c r="F14" s="19" t="n">
        <x:v>40</x:v>
      </x:c>
      <x:c r="G14" s="21" t="n">
        <x:v>182.36311683006198</x:v>
      </x:c>
      <x:c r="H14" s="21" t="n">
        <x:v>180.02882047354663</x:v>
      </x:c>
      <x:c r="I14" s="21" t="n">
        <x:v>2.334296356515337</x:v>
      </x:c>
      <x:c r="J14" s="22" t="n">
        <x:f>G14/C14</x:f>
        <x:v>0.4362753991149808</x:v>
      </x:c>
      <x:c r="K14" s="22" t="n">
        <x:v>0.4091866028708134</x:v>
      </x:c>
    </x:row>
    <x:row r="15" ht="25" customHeight="1">
      <x:c r="A15" s="50" t="n">
        <x:v>40000</x:v>
      </x:c>
      <x:c r="B15" s="44" t="n">
        <x:v>605</x:v>
      </x:c>
      <x:c r="C15" s="44" t="n">
        <x:v>419</x:v>
      </x:c>
      <x:c r="D15" s="45" t="n">
        <x:f>C15/B15</x:f>
        <x:v>0.6925619834710743</x:v>
      </x:c>
      <x:c r="E15" s="44" t="n">
        <x:v>147</x:v>
      </x:c>
      <x:c r="F15" s="44" t="n">
        <x:v>39</x:v>
      </x:c>
      <x:c r="G15" s="46" t="n">
        <x:v>178.4763949947075</x:v>
      </x:c>
      <x:c r="H15" s="46" t="n">
        <x:v>176.926697669507</x:v>
      </x:c>
      <x:c r="I15" s="46" t="n">
        <x:v>1.5496973252004853</x:v>
      </x:c>
      <x:c r="J15" s="47" t="n">
        <x:f>G15/C15</x:f>
        <x:v>0.4259579832809248</x:v>
      </x:c>
      <x:c r="K15" s="47" t="n">
        <x:v>0.41455847255369926</x:v>
      </x:c>
    </x:row>
    <x:row r="16" ht="25" customHeight="1">
      <x:c r="A16" s="4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5" customHeight="1">
      <x:c r="A17" s="4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5" customHeight="1">
      <x:c r="A18" s="4" t="str">
        <x:v>32k完成429个，40k完成419个；保留全部检查点。</x:v>
      </x:c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5" customHeight="1">
      <x:c r="A19" s="4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38" customHeight="1">
      <x:c r="A20" s="53" t="str">
        <x:v>真实训练步</x:v>
      </x:c>
      <x:c r="B20" s="54" t="str">
        <x:v>Shadow步</x:v>
      </x:c>
      <x:c r="C20" s="54" t="str">
        <x:v>成对标签数</x:v>
      </x:c>
      <x:c r="D20" s="54" t="str">
        <x:v>总模拟步</x:v>
      </x:c>
      <x:c r="E20" s="3"/>
      <x:c r="F20" s="3"/>
      <x:c r="G20" s="3"/>
      <x:c r="H20" s="3"/>
      <x:c r="I20" s="3"/>
      <x:c r="J20" s="3"/>
      <x:c r="K20" s="3"/>
    </x:row>
    <x:row r="21" ht="25" customHeight="1">
      <x:c r="A21" s="48" t="n">
        <x:v>40000</x:v>
      </x:c>
      <x:c r="B21" s="19" t="n">
        <x:v>135738</x:v>
      </x:c>
      <x:c r="C21" s="19" t="n">
        <x:v>240</x:v>
      </x:c>
      <x:c r="D21" s="19" t="n">
        <x:f>SUM(A21:B21)</x:f>
        <x:v>175738</x:v>
      </x:c>
      <x:c r="E21" s="3"/>
      <x:c r="F21" s="3"/>
      <x:c r="G21" s="3"/>
      <x:c r="H21" s="3"/>
      <x:c r="I21" s="3"/>
      <x:c r="J21" s="3"/>
      <x:c r="K21" s="3"/>
    </x:row>
    <x:row r="22" ht="25" customHeight="1">
      <x:c r="A22" s="4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5" customHeight="1">
      <x:c r="A23" s="4" t="str">
        <x:v>来源：各检查点冻结评估；Shadow与标签数来自真实训练日志。</x:v>
      </x:c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5" customHeight="1">
      <x:c r="A24" s="4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</x:cols>
  <x:sheetData>
    <x:row r="1" ht="25" customHeight="1">
      <x:c r="A1" s="4"/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固定40k五场景完成数</x:v>
      </x:c>
      <x:c r="B2" s="7"/>
      <x:c r="C2" s="7"/>
      <x:c r="D2" s="7"/>
      <x:c r="E2" s="7"/>
      <x:c r="F2" s="7"/>
      <x:c r="G2" s="7"/>
      <x:c r="H2" s="7"/>
    </x:row>
    <x:row r="3" ht="25" customHeight="1">
      <x:c r="A3" s="8" t="str">
        <x:v>各列为实际完成任务数；生成任务和外部轨迹在各方法间一致。</x:v>
      </x:c>
      <x:c r="B3" s="3"/>
      <x:c r="C3" s="3"/>
      <x:c r="D3" s="3"/>
      <x:c r="E3" s="3"/>
      <x:c r="F3" s="3"/>
      <x:c r="G3" s="3"/>
      <x:c r="H3" s="3"/>
    </x:row>
    <x:row r="4" ht="25" customHeight="1">
      <x:c r="A4" s="4"/>
      <x:c r="B4" s="3"/>
      <x:c r="C4" s="3"/>
      <x:c r="D4" s="3"/>
      <x:c r="E4" s="3"/>
      <x:c r="F4" s="3"/>
      <x:c r="G4" s="3"/>
      <x:c r="H4" s="3"/>
    </x:row>
    <x:row r="5" ht="38" customHeight="1">
      <x:c r="A5" s="56" t="str">
        <x:v>开发场景</x:v>
      </x:c>
      <x:c r="B5" s="57" t="str">
        <x:v>生成任务</x:v>
      </x:c>
      <x:c r="C5" s="57" t="str">
        <x:v>D seed43</x:v>
      </x:c>
      <x:c r="D5" s="57" t="str">
        <x:v>C seed43</x:v>
      </x:c>
      <x:c r="E5" s="57" t="str">
        <x:v>D seed42</x:v>
      </x:c>
      <x:c r="F5" s="57" t="str">
        <x:v>C seed42</x:v>
      </x:c>
      <x:c r="G5" s="57" t="str">
        <x:v>Heuristic</x:v>
      </x:c>
      <x:c r="H5" s="58" t="str">
        <x:v>Local</x:v>
      </x:c>
    </x:row>
    <x:row r="6" ht="25" customHeight="1">
      <x:c r="A6" s="59" t="n">
        <x:v>1042</x:v>
      </x:c>
      <x:c r="B6" s="19" t="n">
        <x:v>135</x:v>
      </x:c>
      <x:c r="C6" s="19" t="n">
        <x:v>102</x:v>
      </x:c>
      <x:c r="D6" s="19" t="n">
        <x:v>91</x:v>
      </x:c>
      <x:c r="E6" s="19" t="n">
        <x:v>105</x:v>
      </x:c>
      <x:c r="F6" s="19" t="n">
        <x:v>101</x:v>
      </x:c>
      <x:c r="G6" s="19" t="n">
        <x:v>100</x:v>
      </x:c>
      <x:c r="H6" s="19" t="n">
        <x:v>73</x:v>
      </x:c>
    </x:row>
    <x:row r="7" ht="25" customHeight="1">
      <x:c r="A7" s="64" t="n">
        <x:v>1043</x:v>
      </x:c>
      <x:c r="B7" s="24" t="n">
        <x:v>122</x:v>
      </x:c>
      <x:c r="C7" s="24" t="n">
        <x:v>87</x:v>
      </x:c>
      <x:c r="D7" s="24" t="n">
        <x:v>86</x:v>
      </x:c>
      <x:c r="E7" s="24" t="n">
        <x:v>85</x:v>
      </x:c>
      <x:c r="F7" s="24" t="n">
        <x:v>91</x:v>
      </x:c>
      <x:c r="G7" s="24" t="n">
        <x:v>64</x:v>
      </x:c>
      <x:c r="H7" s="24" t="n">
        <x:v>60</x:v>
      </x:c>
    </x:row>
    <x:row r="8" ht="25" customHeight="1">
      <x:c r="A8" s="59" t="n">
        <x:v>1044</x:v>
      </x:c>
      <x:c r="B8" s="19" t="n">
        <x:v>117</x:v>
      </x:c>
      <x:c r="C8" s="19" t="n">
        <x:v>89</x:v>
      </x:c>
      <x:c r="D8" s="19" t="n">
        <x:v>85</x:v>
      </x:c>
      <x:c r="E8" s="19" t="n">
        <x:v>90</x:v>
      </x:c>
      <x:c r="F8" s="19" t="n">
        <x:v>80</x:v>
      </x:c>
      <x:c r="G8" s="19" t="n">
        <x:v>92</x:v>
      </x:c>
      <x:c r="H8" s="19" t="n">
        <x:v>70</x:v>
      </x:c>
    </x:row>
    <x:row r="9" ht="25" customHeight="1">
      <x:c r="A9" s="64" t="n">
        <x:v>1045</x:v>
      </x:c>
      <x:c r="B9" s="24" t="n">
        <x:v>102</x:v>
      </x:c>
      <x:c r="C9" s="24" t="n">
        <x:v>70</x:v>
      </x:c>
      <x:c r="D9" s="24" t="n">
        <x:v>65</x:v>
      </x:c>
      <x:c r="E9" s="24" t="n">
        <x:v>73</x:v>
      </x:c>
      <x:c r="F9" s="24" t="n">
        <x:v>67</x:v>
      </x:c>
      <x:c r="G9" s="24" t="n">
        <x:v>53</x:v>
      </x:c>
      <x:c r="H9" s="24" t="n">
        <x:v>61</x:v>
      </x:c>
    </x:row>
    <x:row r="10" ht="25" customHeight="1">
      <x:c r="A10" s="59" t="n">
        <x:v>1046</x:v>
      </x:c>
      <x:c r="B10" s="19" t="n">
        <x:v>129</x:v>
      </x:c>
      <x:c r="C10" s="19" t="n">
        <x:v>71</x:v>
      </x:c>
      <x:c r="D10" s="19" t="n">
        <x:v>64</x:v>
      </x:c>
      <x:c r="E10" s="19" t="n">
        <x:v>72</x:v>
      </x:c>
      <x:c r="F10" s="19" t="n">
        <x:v>73</x:v>
      </x:c>
      <x:c r="G10" s="19" t="n">
        <x:v>62</x:v>
      </x:c>
      <x:c r="H10" s="19" t="n">
        <x:v>59</x:v>
      </x:c>
    </x:row>
    <x:row r="11" ht="25" customHeight="1">
      <x:c r="A11" s="62" t="str">
        <x:v>合计</x:v>
      </x:c>
      <x:c r="B11" s="63" t="n">
        <x:f>SUM(B6:B10)</x:f>
        <x:v>605</x:v>
      </x:c>
      <x:c r="C11" s="63" t="n">
        <x:f>SUM(C6:C10)</x:f>
        <x:v>419</x:v>
      </x:c>
      <x:c r="D11" s="63" t="n">
        <x:f>SUM(D6:D10)</x:f>
        <x:v>391</x:v>
      </x:c>
      <x:c r="E11" s="63" t="n">
        <x:f>SUM(E6:E10)</x:f>
        <x:v>425</x:v>
      </x:c>
      <x:c r="F11" s="63" t="n">
        <x:f>SUM(F6:F10)</x:f>
        <x:v>412</x:v>
      </x:c>
      <x:c r="G11" s="63" t="n">
        <x:f>SUM(G6:G10)</x:f>
        <x:v>371</x:v>
      </x:c>
      <x:c r="H11" s="63" t="n">
        <x:f>SUM(H6:H10)</x:f>
        <x:v>323</x:v>
      </x:c>
    </x:row>
    <x:row r="12" ht="25" customHeight="1">
      <x:c r="A12" s="4"/>
      <x:c r="B12" s="3"/>
      <x:c r="C12" s="3"/>
      <x:c r="D12" s="3"/>
      <x:c r="E12" s="3"/>
      <x:c r="F12" s="3"/>
      <x:c r="G12" s="3"/>
      <x:c r="H12" s="3"/>
    </x:row>
    <x:row r="13" ht="25" customHeight="1">
      <x:c r="A13" s="4"/>
      <x:c r="B13" s="3"/>
      <x:c r="C13" s="3"/>
      <x:c r="D13" s="3"/>
      <x:c r="E13" s="3"/>
      <x:c r="F13" s="3"/>
      <x:c r="G13" s="3"/>
      <x:c r="H13" s="3"/>
    </x:row>
    <x:row r="14" ht="25" customHeight="1">
      <x:c r="A14" s="4" t="str">
        <x:v>来源：C/D固定40k及固定基线的同场景原始记录。</x:v>
      </x:c>
      <x:c r="B14" s="3"/>
      <x:c r="C14" s="3"/>
      <x:c r="D14" s="3"/>
      <x:c r="E14" s="3"/>
      <x:c r="F14" s="3"/>
      <x:c r="G14" s="3"/>
      <x:c r="H14" s="3"/>
    </x:row>
    <x:row r="15" ht="25" customHeight="1">
      <x:c r="A15" s="4" t="str">
        <x:v>完成数差异不等于已测得逐任务路由正确率。</x:v>
      </x:c>
      <x:c r="B15" s="3"/>
      <x:c r="C15" s="3"/>
      <x:c r="D15" s="3"/>
      <x:c r="E15" s="3"/>
      <x:c r="F15" s="3"/>
      <x:c r="G15" s="3"/>
      <x:c r="H15" s="3"/>
    </x:row>
    <x:row r="16" ht="25" customHeight="1">
      <x:c r="A16" s="4"/>
      <x:c r="B16" s="3"/>
      <x:c r="C16" s="3"/>
      <x:c r="D16" s="3"/>
      <x:c r="E16" s="3"/>
      <x:c r="F16" s="3"/>
      <x:c r="G16" s="3"/>
      <x:c r="H16" s="3"/>
    </x:row>
  </x:sheetData>
  <x:pageMargins left="0.7" right="0.7" top="0.75" bottom="0.75" header="0.3" footer="0.3"/>
</x:worksheet>
</file>